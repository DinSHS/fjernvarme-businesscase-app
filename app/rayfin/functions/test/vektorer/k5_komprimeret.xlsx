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!-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-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jledning" sheetId="1" state="visible" r:id="rId3"/>
    <sheet name="Timedata" sheetId="2" state="visible" r:id="rId4"/>
    <sheet name="Anlaeg" sheetId="3" state="visible" r:id="rId5"/>
    <sheet name="Varmepumpe" sheetId="4" state="visible" r:id="rId6"/>
    <sheet name="Priser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<sst xmlns="http://schemas.openxmlformats.org/spreadsheetml/2006/main" count="189" uniqueCount="160">
  <si>
    <t xml:space="preserve">Dit værk i modellen — dataskabelon</t>
  </si>
  <si>
    <t xml:space="preserve">AI til driftsoptimering i fjernvarmen · 22. oktober 2026 · Fjernvarmens Hus, Kolding</t>
  </si>
  <si>
    <t xml:space="preserve">Hvad du skal gøre inden kurset</t>
  </si>
  <si>
    <t xml:space="preserve">1. Timedata</t>
  </si>
  <si>
    <t xml:space="preserve">Bed din SRO-leverandør eller driftsansvarlige om timeværdier for den samlede varmeproduktion ab værk, summeret over alle enheder, for 1. juli 2025 til 30. juni 2026. Klokkeslæt i UTC, så sommertiden kan håndteres. Indsæt dem i arket 'Timedata'. Det er den ene ting med leveringstid — bestil den først.</t>
  </si>
  <si>
    <t xml:space="preserve">2. Anlægsdata</t>
  </si>
  <si>
    <t xml:space="preserve">Udfyld arket 'Anlaeg' med dine produktionsenheder og akkumuleringstanke. Har I varmepumper, så udfyld også arket 'Varmepumpe'.</t>
  </si>
  <si>
    <t xml:space="preserve">3. Priser og tarif</t>
  </si>
  <si>
    <t xml:space="preserve">Udfyld arket 'Priser'. Tarifbåndene står på dit netselskabs prisblad. Brændselspriserne er dine egne indkøbspriser ekskl. moms.</t>
  </si>
  <si>
    <t xml:space="preserve">4. Send arket til mig</t>
  </si>
  <si>
    <t xml:space="preserve">Send det udfyldte ark til mig senest onsdag 7. oktober, så jeg kan kontrollere det og bygge modelfilen inden kurset. Tag også filen med på dagen. Du skal ikke installere noget.</t>
  </si>
  <si>
    <t xml:space="preserve">Tidszone — læs det her, også selvom resten springes over</t>
  </si>
  <si>
    <t xml:space="preserve">Modellen regner i UTC, og elpriser og vejrdata hentes i UTC. Derfor beder vi om dine timedata i UTC. Får du udtrækket i dansk tid, så konvertér IKKE selv — skriv i stedet 'dansk lokaltid' i tidszonefeltet øverst i arket Timedata, så klarer konverteringen det. En forkert tidszone flytter hele året en eller to timer, uden at noget ser forkert ud: varmen topper bare på det forkerte tidspunkt i forhold til elprisen, og modellen lærer et mønster, der ikke findes.</t>
  </si>
  <si>
    <t xml:space="preserve">Sådan får du timedata hjem</t>
  </si>
  <si>
    <t xml:space="preserve">Spørg driften eller din SRO-leverandør: »Jeg skal bruge et udtræk med timeværdier for den samlede varmeproduktion ab værk i MW for perioden 1. juli 2025 til 30. juni 2026, som CSV eller Excel med to kolonner: tidsstempel og værdi. Tidsstempler i UTC, gerne som ISO 8601. Kan I kun levere lokal tid, så oplys det, og fortæl hvordan sommertidsskiftet ser ud.« Bed samtidig om den samlede årsproduktion ab værk i GWh — den skal stå i arket, uanset om timedataene kommer.</t>
  </si>
  <si>
    <t xml:space="preserve">Hvis varmeproduktionen har huller</t>
  </si>
  <si>
    <t xml:space="preserve">Enkelte manglende timer er normalt. Lad cellen stå tom — skriv ikke nul, for nul er en gyldig måling og bliver læst som 'værket producerede intet'. Mangler mere end en uge i træk, så skriv det i mailen, når du sender arket — ikke først på dagen. Der findes en syntesevej, hvor modellen danner de manglende timer ud fra DMI-vejrdata, men den skal sættes op inden kurset. Kommer der slet ingen timeserie, kan vi køre på årsproduktionen alene; så er resultatet et regneeksempel og ikke jeres drift.</t>
  </si>
  <si>
    <t xml:space="preserve">Varmepumper — arket 'Varmepumpe'</t>
  </si>
  <si>
    <t xml:space="preserve">En luft/vand-varmepumpe leverer mindre varme, når det er koldt, og mere, når det er lunt. Derfor beder vi ikke om ét tal, men om varmeproduktion og eloptag ved fuld last ved to-tre udetemperaturer, fx en kold dag (omkring −10 °C), omkring 0 °C og en varm dag (omkring +15 °C). Tallene kan aflæses i SRO eller på databladet. Modellen regner selv COP ud. Navnet skal stå præcis som i arket Anlaeg. Når arket Varmepumpe er udfyldt, skal maks varme og COP i Anlaeg stå tomme for varmepumpen — udfyld kun maks varme, hvis noget andet end varmepumpen selv begrænser varmen, fx pumper eller nettilslutning. Ellers klipper tallet toppen af sommerydelsen, uden at resultatet ser forkert ud.</t>
  </si>
  <si>
    <t xml:space="preserve">Farvekoder</t>
  </si>
  <si>
    <t xml:space="preserve">Gul celle = du skal udfylde den.</t>
  </si>
  <si>
    <t xml:space="preserve">Grå række = eksempel. Slet den, eller skriv hen over den.</t>
  </si>
  <si>
    <t xml:space="preserve">Blå tekst = tal, du selv taster.</t>
  </si>
  <si>
    <t xml:space="preserve">Enhedstype, balancemarked, DMI-område og priszone har en dropdown — klik i cellen, og brug pilen til højre. Vises pilen ikke i din Excel, så skriv værdien af præcis som i listen under skemaet.</t>
  </si>
  <si>
    <t xml:space="preserve">Hvad du IKKE skal udfylde</t>
  </si>
  <si>
    <t xml:space="preserve">Elspotpriser, balancemarkedspriser og vejrdata henter modellen selv. Du skal hverken have en Energinet-konto eller en API-nøgle.</t>
  </si>
  <si>
    <t xml:space="preserve">Spørgsmål inden dagen</t>
  </si>
  <si>
    <t xml:space="preserve">Steen Kramer Jensen, chefkonsulent, Dansk Fjernvarme. skj@danskfjernvarme.dk</t>
  </si>
  <si>
    <t xml:space="preserve">Varmeproduktion ab værk — ét års timeværdier</t>
  </si>
  <si>
    <t xml:space="preserve">tidszone:</t>
  </si>
  <si>
    <t xml:space="preserve">UTC</t>
  </si>
  <si>
    <t xml:space="preserve">Skriv enten  UTC  eller  dansk lokaltid  — intet andet. UTC er det, vi beder om.</t>
  </si>
  <si>
    <t xml:space="preserve">årsproduktion ab værk:</t>
  </si>
  <si>
    <t xml:space="preserve">GWh/år, samlet ab værk for 1. juli 2025 – 30. juni 2026. UDFYLD ALTID — også når timedataene er der. Uden timeserie er det eneste, modellen har.</t>
  </si>
  <si>
    <t xml:space="preserve">Indsæt dine data fra række 6. Tidsstempel i kolonne A, MW i kolonne B. Lad manglende timer stå tomme — skriv ikke nul. Vi regner på 1. juli 2025 – 30. juni 2026.</t>
  </si>
  <si>
    <t xml:space="preserve">tidsstempel</t>
  </si>
  <si>
    <t xml:space="preserve">varme_mw</t>
  </si>
  <si>
    <t xml:space="preserve">(noter)</t>
  </si>
  <si>
    <t xml:space="preserve">EKSEMPELRÆKKER — slet dem, eller skriv hen over</t>
  </si>
  <si>
    <t xml:space="preserve">Produktionsenheder</t>
  </si>
  <si>
    <t xml:space="preserve">Én række pr. enhed. De syv grå rækker viser hver sin type — slet dem, du ikke har, og skriv dine egne tal i dem, du har. Enhedsnavnet er frit. Du må gerne have flere enheder af samme slags, og du må gerne forenkle og lægge fx tre gaskedler sammen til én række.</t>
  </si>
  <si>
    <t xml:space="preserve">navn</t>
  </si>
  <si>
    <t xml:space="preserve">type</t>
  </si>
  <si>
    <t xml:space="preserve">maks varme (MW)</t>
  </si>
  <si>
    <t xml:space="preserve">min varme (MW)</t>
  </si>
  <si>
    <t xml:space="preserve">varme virkningsgrad</t>
  </si>
  <si>
    <t xml:space="preserve">COP ved 0 °C</t>
  </si>
  <si>
    <t xml:space="preserve">elvirkningsgrad</t>
  </si>
  <si>
    <t xml:space="preserve">D&amp;V (kr/MWh)</t>
  </si>
  <si>
    <t xml:space="preserve">startomkostning (kr)</t>
  </si>
  <si>
    <t xml:space="preserve">min driftstid (t)</t>
  </si>
  <si>
    <t xml:space="preserve">min stoptid (t)</t>
  </si>
  <si>
    <t xml:space="preserve">kan byde i balancemarked</t>
  </si>
  <si>
    <t xml:space="preserve">solvarme: årsproduktion (GWh)</t>
  </si>
  <si>
    <t xml:space="preserve">varmepumpe</t>
  </si>
  <si>
    <t xml:space="preserve">heat_pump</t>
  </si>
  <si>
    <t xml:space="preserve">ja</t>
  </si>
  <si>
    <t xml:space="preserve">elkedel</t>
  </si>
  <si>
    <t xml:space="preserve">electric_boiler</t>
  </si>
  <si>
    <t xml:space="preserve">halmkedel</t>
  </si>
  <si>
    <t xml:space="preserve">biomass_boiler</t>
  </si>
  <si>
    <t xml:space="preserve">nej</t>
  </si>
  <si>
    <t xml:space="preserve">gaskedel</t>
  </si>
  <si>
    <t xml:space="preserve">gas_boiler</t>
  </si>
  <si>
    <t xml:space="preserve">gasmotor</t>
  </si>
  <si>
    <t xml:space="preserve">gas_engine_chp</t>
  </si>
  <si>
    <t xml:space="preserve">solvarme</t>
  </si>
  <si>
    <t xml:space="preserve">solar_thermal</t>
  </si>
  <si>
    <t xml:space="preserve">overskudsvarme</t>
  </si>
  <si>
    <t xml:space="preserve">waste_heat</t>
  </si>
  <si>
    <t xml:space="preserve">Lovlige værdier i kolonne 'type' (også i dropdown)</t>
  </si>
  <si>
    <t xml:space="preserve">Varmepumpe. Udfyld arket 'Varmepumpe' med varmeproduktion og eloptag ved to-tre udetemperaturer, og lad maks varme og COP stå tomme her. Elvirkningsgrad skal ikke udfyldes. Har I en anden kilde end luft — grundvand, spildevand, sø — så skriv det i mailen.</t>
  </si>
  <si>
    <t xml:space="preserve">Elkedel. Udfyld varme virkningsgrad (MWh varme pr. MWh el, typisk 0,98–0,99).</t>
  </si>
  <si>
    <t xml:space="preserve">Halm- eller fliskedel. Brændslet vælges efter, hvilken pris du har udfyldt.</t>
  </si>
  <si>
    <t xml:space="preserve">Gaskedel.</t>
  </si>
  <si>
    <t xml:space="preserve">Gasmotor med kraftvarme. Udfyld BÅDE varme virkningsgrad og elvirkningsgrad — begge pr. MWh brændsel. Modellen regner selv el-til-varme-forholdet ud.</t>
  </si>
  <si>
    <t xml:space="preserve">Solvarme. Udfyld kolonnen længst til højre; resten af rækken kan stå som her.</t>
  </si>
  <si>
    <t xml:space="preserve">Overskudsvarme fra industri e.l. Sæt min varme = maks varme, hvis leverancen er fast.</t>
  </si>
  <si>
    <t xml:space="preserve">Kolonnen 'kan byde i balancemarked': skriv  ja  eller  nej</t>
  </si>
  <si>
    <t xml:space="preserve">Kun 'ja', hvis enheden faktisk er prækvalificeret hos Energinet. Er I i tvivl, så skriv nej. I dag byder modellen kun med varmepumper og elkedler. Et 'ja' ved en gasmotor bliver gemt, men bruges ikke endnu.</t>
  </si>
  <si>
    <t xml:space="preserve">Hvad de øvrige felter betyder</t>
  </si>
  <si>
    <t xml:space="preserve">Enhedens største varmeeffekt ifølge typeskiltet — den effekt, den kan levere til nettet ved fuld last. Modellen bruger det som et loft, ikke som et mål. Varmepumper: lad feltet stå tomt, når arket 'Varmepumpe' er udfyldt. Udfyld det kun, hvis noget andet end varmepumpen selv begrænser varmen — ellers klipper det sommerydelsen. Se boksen nedenfor om solvarme.</t>
  </si>
  <si>
    <t xml:space="preserve">Laveste stabile last, når enheden kører. 0, hvis den kan regulere helt ned. Bruges kun, når enheden har en min driftstid over 1 time eller en min varme over 0.</t>
  </si>
  <si>
    <t xml:space="preserve">MWh varme pr. MWh brændsel. Fx 0,95 — ikke 95. Kræves for kedler, gasmotor og overskudsvarme. For elkedler er 'brændslet' el, typisk 0,98–0,99.</t>
  </si>
  <si>
    <t xml:space="preserve">Kun varmepumper, og kun hvis I ikke kan udfylde arket 'Varmepumpe'. Årsvirkningsgraden skal IKKE bruges her. Med kun dette tal regner modellen med fast varmeeffekt hele året, og det er mindre præcist.</t>
  </si>
  <si>
    <t xml:space="preserve">Kun gasmotor: MWh el pr. MWh brændsel, fx 0,41. Sammen med varme virkningsgraden giver den el-til-varme-forholdet, modellen regner med. Lad feltet stå tomt for alle andre typer.</t>
  </si>
  <si>
    <t xml:space="preserve">min driftstid/stoptid</t>
  </si>
  <si>
    <t xml:space="preserve">Timer enheden mindst skal køre eller stå, når den først har skiftet. Kedler med lang opstart: 4–72 timer.</t>
  </si>
  <si>
    <t xml:space="preserve">solvarme: årsproduktion</t>
  </si>
  <si>
    <t xml:space="preserve">Kun for solar_thermal. Hvor mange GWh solfangerne leverer på et år. Maks varme er nameplate; profilen binder reelt langt lavere.</t>
  </si>
  <si>
    <t xml:space="preserve">Solvarme og maks varme. For solvarme skriver du nameplate — den effekt, solfangerfeltet er dimensioneret til. Men solen leverer sjældent i nærheden af den: indfaldsvinkel, skydække og temperaturtab trækker ned. Modellen bruger derfor den laveste af to værdier hver time: maks varme og den genererede solprofil. I eksemplet er nameplate 22 MW, mens profilen topper omkring 8 MW. Ser du 22 MW i skemaet og højst 8 MW i resultatet, er det ikke en fejl — det er profilen, der binder. Det er årsproduktionen i kolonnen længst til højre, der bestemmer, hvor meget sol modellen får.</t>
  </si>
  <si>
    <t xml:space="preserve">Akkumuleringstanke</t>
  </si>
  <si>
    <t xml:space="preserve">Én række pr. tank. Har I flere tanke, der arbejder sammen som ét lager, må I gerne lægge dem sammen til én række.</t>
  </si>
  <si>
    <t xml:space="preserve">tank</t>
  </si>
  <si>
    <t xml:space="preserve">volumen (m³)</t>
  </si>
  <si>
    <t xml:space="preserve">maks fyldning (MWh)</t>
  </si>
  <si>
    <t xml:space="preserve">maks ladeeffekt (MW)</t>
  </si>
  <si>
    <t xml:space="preserve">maks afladeeffekt (MW)</t>
  </si>
  <si>
    <t xml:space="preserve">tank_stor</t>
  </si>
  <si>
    <t xml:space="preserve">tank_lille</t>
  </si>
  <si>
    <t xml:space="preserve">Maks fyldning er den varmemængde, tanken kan rumme fra bund til top — det tal, driften kender som tankens kapacitet. Kender I den ikke, kan I regne den: volumen × temperaturspring × 1,163 ÷ 1000. En tank på 7.000 m³ med 30 K mellem frem og retur rummer 244 MWh. Modellen bruger MWh-tallet; volumen står med, fordi det bruges til at tjekke, at de to tal passer sammen. Vi spørger ikke om temperaturer.</t>
  </si>
  <si>
    <t xml:space="preserve">Varmepumper — ydelse ved forskellige udetemperaturer</t>
  </si>
  <si>
    <t xml:space="preserve">En luft/vand-varmepumpe leverer mere varme, når det er lunt, og mindre, når det er koldt. Skriv derfor, hvad varmepumpen leverer i varme og trækker i el ved fuld last ved mindst to udetemperaturer — gerne tre: en kold dag (omkring −10 °C), omkring 0 °C og en varm dag (omkring +15 °C). Tallene kan aflæses i SRO eller på databladet. Modellen regner selv COP ud og regner mellem punkterne.</t>
  </si>
  <si>
    <t xml:space="preserve">Én række pr. målepunkt. Navnet skal stå præcis som i arket Anlaeg. Har I flere varmepumper, så giv hver sine rækker. Grå rækker er eksempel — slet dem, eller skriv hen over.</t>
  </si>
  <si>
    <t xml:space="preserve">udetemperatur (°C)</t>
  </si>
  <si>
    <t xml:space="preserve">varmeproduktion (MW)</t>
  </si>
  <si>
    <t xml:space="preserve">eloptag (MW)</t>
  </si>
  <si>
    <t xml:space="preserve">COP (regnes selv)</t>
  </si>
  <si>
    <t xml:space="preserve">Tjek COP i kolonne E. En luft/vand-varmepumpe ligger typisk på 2–4, lavest i kulde. Står der et tal langt fra det, er varme og el byttet om, eller et af tallene står i kW. Eksemplet viser et typisk forløb: varmen stiger fra 3,0 til 5,2 MW fra frost til sommer, mens eloptaget kun stiger lidt.</t>
  </si>
  <si>
    <t xml:space="preserve">Priser, afgifter og tarif</t>
  </si>
  <si>
    <t xml:space="preserve">Alt ekskl. moms. Lad felter stå tomme for brændsler, du ikke bruger. CO2 opgives pr. ton CO2 — ikke pr. MWh gas.</t>
  </si>
  <si>
    <t xml:space="preserve">Brændselspriser</t>
  </si>
  <si>
    <t xml:space="preserve">brændsel</t>
  </si>
  <si>
    <t xml:space="preserve">pris</t>
  </si>
  <si>
    <t xml:space="preserve">enhed</t>
  </si>
  <si>
    <t xml:space="preserve">note</t>
  </si>
  <si>
    <t xml:space="preserve">naturgas</t>
  </si>
  <si>
    <t xml:space="preserve">kr/MWh</t>
  </si>
  <si>
    <t xml:space="preserve">Pr. MWh brændsel, ikke pr. MWh varme. Indeholder jeres gaspris allerede CO2-afgiften, så skriv 0 i CO2-rækken.</t>
  </si>
  <si>
    <t xml:space="preserve">halm</t>
  </si>
  <si>
    <t xml:space="preserve">Din indkøbspris ab værk.</t>
  </si>
  <si>
    <t xml:space="preserve">flis</t>
  </si>
  <si>
    <t xml:space="preserve">Har du både halm og flis, så udfyld begge.</t>
  </si>
  <si>
    <t xml:space="preserve">Din afregningspris til leverandøren.</t>
  </si>
  <si>
    <t xml:space="preserve">CO2-kvote eller CO2-afgift</t>
  </si>
  <si>
    <t xml:space="preserve">kr/t CO2</t>
  </si>
  <si>
    <t xml:space="preserve">90 EUR/t × 7,45 kr/EUR. Modellen ganger selv med 0,2 t CO2 pr. MWh gas.</t>
  </si>
  <si>
    <t xml:space="preserve">Elafgift og faste tarifled</t>
  </si>
  <si>
    <t xml:space="preserve">post</t>
  </si>
  <si>
    <t xml:space="preserve">elafgift efter elvarmegodtgørelse</t>
  </si>
  <si>
    <t xml:space="preserve">Det tal, I faktisk betaler — ikke den fulde sats.</t>
  </si>
  <si>
    <t xml:space="preserve">Energinet (transmission+system+balance)</t>
  </si>
  <si>
    <t xml:space="preserve">Står samlet på jeres elregning.</t>
  </si>
  <si>
    <t xml:space="preserve">netselskabets drift og vedligehold</t>
  </si>
  <si>
    <t xml:space="preserve">Ofte nul. Skriv 0, ikke tomt.</t>
  </si>
  <si>
    <t xml:space="preserve">indfødningstarif (hvis I leverer el)</t>
  </si>
  <si>
    <t xml:space="preserve">Kun relevant med gasmotor eller anden elproduktion.</t>
  </si>
  <si>
    <t xml:space="preserve">Tidsvarierende nettarif</t>
  </si>
  <si>
    <t xml:space="preserve">De tre bånd står på dit netselskabs prisblad, typisk som lavlast, højlast og spidslast. Har dit selskab andre navne eller flere bånd, så skriv dem, du har — resten kan stå tomme. Er satserne forskellige vinter og sommer, så udfyld begge kolonner. Tidspunkterne er faste i modellen og følger inddelingen i noterne til højre. Bruger jeres netselskab andre tidspunkter — fx spidslast kl. 17–21 — så skriv jeres tidspunkter i mailen, når du sender arket.</t>
  </si>
  <si>
    <t xml:space="preserve">bånd</t>
  </si>
  <si>
    <t xml:space="preserve">vinter (kr/MWh)</t>
  </si>
  <si>
    <t xml:space="preserve">sommer (kr/MWh)</t>
  </si>
  <si>
    <t xml:space="preserve">lavlast</t>
  </si>
  <si>
    <t xml:space="preserve">Kl. 00–06 alle dage. Om sommeren (april–september) også hele weekenden.</t>
  </si>
  <si>
    <t xml:space="preserve">højlast</t>
  </si>
  <si>
    <t xml:space="preserve">Vinter (oktober–marts): kl. 21–24 på hverdage og kl. 06–24 i weekenden. Sommer: kl. 06–24 på hverdage.</t>
  </si>
  <si>
    <t xml:space="preserve">spidslast</t>
  </si>
  <si>
    <t xml:space="preserve">Kun vinterhverdage kl. 06–21. Har I ikke spidslast om sommeren, så lad cellen stå tom.</t>
  </si>
  <si>
    <t xml:space="preserve">Vejrstation, priszone og værkets navn</t>
  </si>
  <si>
    <t xml:space="preserve">felt</t>
  </si>
  <si>
    <t xml:space="preserve">værdi</t>
  </si>
  <si>
    <t xml:space="preserve">nærmeste DMI-område</t>
  </si>
  <si>
    <t xml:space="preserve">karup</t>
  </si>
  <si>
    <t xml:space="preserve">Skriv præcis én af:  fyn   vestkyst   karup   ringsted. Vælg det område, der ligger nærmest værket. Øst for Storebælt: ringsted.</t>
  </si>
  <si>
    <t xml:space="preserve">priszone</t>
  </si>
  <si>
    <t xml:space="preserve">DK1</t>
  </si>
  <si>
    <t xml:space="preserve">Skriv  DK1  vest for Storebælt, ellers  DK2</t>
  </si>
  <si>
    <t xml:space="preserve">værkets navn</t>
  </si>
  <si>
    <t xml:space="preserve">Andeby Fjernvarme</t>
  </si>
  <si>
    <t xml:space="preserve">Bruges som filnavn for din modelfil.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</si>
</sst>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yyyy\-mm\-dd\ hh:mm"/>
    <numFmt numFmtId="167" formatCode="0.00"/>
    <numFmt numFmtId="168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C00000"/>
      <name val="Consola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64"/>
    <col collapsed="false" customWidth="true" hidden="false" outlineLevel="0" max="4" min="4" style="0" width="3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57.75" hidden="false" customHeight="true" outlineLevel="0" collapsed="false">
      <c r="B6" s="4" t="s">
        <v>3</v>
      </c>
      <c r="C6" s="5" t="s">
        <v>4</v>
      </c>
    </row>
    <row r="7" customFormat="false" ht="43.5" hidden="false" customHeight="true" outlineLevel="0" collapsed="false">
      <c r="B7" s="4" t="s">
        <v>5</v>
      </c>
      <c r="C7" s="5" t="s">
        <v>6</v>
      </c>
    </row>
    <row r="8" customFormat="false" ht="43.5" hidden="false" customHeight="true" outlineLevel="0" collapsed="false">
      <c r="B8" s="4" t="s">
        <v>7</v>
      </c>
      <c r="C8" s="5" t="s">
        <v>8</v>
      </c>
    </row>
    <row r="9" customFormat="false" ht="43.5" hidden="false" customHeight="true" outlineLevel="0" collapsed="false">
      <c r="B9" s="4" t="s">
        <v>9</v>
      </c>
      <c r="C9" s="5" t="s">
        <v>10</v>
      </c>
    </row>
    <row r="11" customFormat="false" ht="15" hidden="false" customHeight="false" outlineLevel="0" collapsed="false">
      <c r="B11" s="3" t="s">
        <v>11</v>
      </c>
    </row>
    <row r="12" customFormat="false" ht="85.5" hidden="false" customHeight="true" outlineLevel="0" collapsed="false">
      <c r="C12" s="5" t="s">
        <v>12</v>
      </c>
    </row>
    <row r="14" customFormat="false" ht="15" hidden="false" customHeight="false" outlineLevel="0" collapsed="false">
      <c r="B14" s="3" t="s">
        <v>13</v>
      </c>
    </row>
    <row r="15" customFormat="false" ht="85.5" hidden="false" customHeight="true" outlineLevel="0" collapsed="false">
      <c r="C15" s="5" t="s">
        <v>14</v>
      </c>
    </row>
    <row r="17" customFormat="false" ht="15" hidden="false" customHeight="false" outlineLevel="0" collapsed="false">
      <c r="B17" s="3" t="s">
        <v>15</v>
      </c>
    </row>
    <row r="18" customFormat="false" ht="85.5" hidden="false" customHeight="true" outlineLevel="0" collapsed="false">
      <c r="C18" s="5" t="s">
        <v>16</v>
      </c>
    </row>
    <row r="20" customFormat="false" ht="15" hidden="false" customHeight="false" outlineLevel="0" collapsed="false">
      <c r="B20" s="3" t="s">
        <v>17</v>
      </c>
    </row>
    <row r="21" customFormat="false" ht="114" hidden="false" customHeight="true" outlineLevel="0" collapsed="false">
      <c r="C21" s="5" t="s">
        <v>18</v>
      </c>
    </row>
    <row r="23" customFormat="false" ht="15" hidden="false" customHeight="false" outlineLevel="0" collapsed="false">
      <c r="B23" s="3" t="s">
        <v>19</v>
      </c>
    </row>
    <row r="24" customFormat="false" ht="15" hidden="false" customHeight="false" outlineLevel="0" collapsed="false">
      <c r="C24" s="6" t="s">
        <v>20</v>
      </c>
    </row>
    <row r="25" customFormat="false" ht="15" hidden="false" customHeight="false" outlineLevel="0" collapsed="false">
      <c r="C25" s="7" t="s">
        <v>21</v>
      </c>
    </row>
    <row r="26" customFormat="false" ht="15" hidden="false" customHeight="false" outlineLevel="0" collapsed="false">
      <c r="C26" s="8" t="s">
        <v>22</v>
      </c>
    </row>
    <row r="27" customFormat="false" ht="42" hidden="false" customHeight="true" outlineLevel="0" collapsed="false">
      <c r="C27" s="5" t="s">
        <v>23</v>
      </c>
    </row>
    <row r="29" customFormat="false" ht="15" hidden="false" customHeight="false" outlineLevel="0" collapsed="false">
      <c r="B29" s="3" t="s">
        <v>24</v>
      </c>
    </row>
    <row r="30" customFormat="false" ht="27.75" hidden="false" customHeight="true" outlineLevel="0" collapsed="false">
      <c r="C30" s="5" t="s">
        <v>25</v>
      </c>
    </row>
    <row r="32" customFormat="false" ht="15" hidden="false" customHeight="false" outlineLevel="0" collapsed="false">
      <c r="B32" s="3" t="s">
        <v>26</v>
      </c>
    </row>
    <row r="33" customFormat="false" ht="15" hidden="false" customHeight="false" outlineLevel="0" collapsed="false">
      <c r="C33" s="9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62"/>
  </cols>
  <sheetData>
    <row r="1" customFormat="false" ht="17.35" hidden="false" customHeight="false" outlineLevel="0" collapsed="false">
      <c r="A1" s="1" t="s">
        <v>28</v>
      </c>
    </row>
    <row r="2" customFormat="false" ht="15" hidden="false" customHeight="false" outlineLevel="0" collapsed="false">
      <c r="A2" s="4" t="s">
        <v>29</v>
      </c>
      <c r="B2" s="10" t="s">
        <v>30</v>
      </c>
      <c r="C2" s="2" t="s">
        <v>31</v>
      </c>
    </row>
    <row r="3" customFormat="false" ht="15" hidden="false" customHeight="false" outlineLevel="0" collapsed="false">
      <c r="A3" s="4" t="s">
        <v>32</v>
      </c>
      <c r="B3" s="11"/>
      <c r="C3" s="2" t="s">
        <v>33</v>
      </c>
    </row>
    <row r="4" customFormat="false" ht="15" hidden="false" customHeight="false" outlineLevel="0" collapsed="false">
      <c r="A4" s="2" t="s">
        <v>34</v>
      </c>
    </row>
    <row r="5" customFormat="false" ht="33.75" hidden="false" customHeight="true" outlineLevel="0" collapsed="false">
      <c r="A5" s="12" t="s">
        <v>35</v>
      </c>
      <c r="B5" s="12" t="s">
        <v>36</v>
      </c>
      <c r="C5" s="12" t="s">
        <v>37</v>
      </c>
    </row>
    <row r="6" customFormat="false" ht="15" hidden="false" customHeight="false" outlineLevel="0" collapsed="false">
      <c r="A6" s="13" t="n">
        <v>45839</v>
      </c>
      <c r="B6" s="14" t="n">
        <v>18.4</v>
      </c>
      <c r="C6" s="2" t="s">
        <v>38</v>
      </c>
    </row>
    <row r="7" customFormat="false" ht="15" hidden="false" customHeight="false" outlineLevel="0" collapsed="false">
      <c r="A7" s="13" t="n">
        <v>45839.0416666667</v>
      </c>
      <c r="B7" s="14" t="n">
        <v>19.1</v>
      </c>
    </row>
    <row r="8" customFormat="false" ht="15" hidden="false" customHeight="false" outlineLevel="0" collapsed="false">
      <c r="A8" s="13" t="n">
        <v>45839.0833333333</v>
      </c>
      <c r="B8" s="14" t="n">
        <v>19.8</v>
      </c>
    </row>
    <row r="9" customFormat="false" ht="15" hidden="false" customHeight="false" outlineLevel="0" collapsed="false">
      <c r="A9" s="13" t="n">
        <v>45839.125</v>
      </c>
      <c r="B9" s="14" t="n">
        <v>20.2</v>
      </c>
    </row>
    <row r="10" customFormat="false" ht="15" hidden="false" customHeight="false" outlineLevel="0" collapsed="false">
      <c r="A10" s="13" t="n">
        <v>45839.1666666667</v>
      </c>
      <c r="B10" s="14" t="n">
        <v>20</v>
      </c>
    </row>
    <row r="11" customFormat="false" ht="15" hidden="false" customHeight="false" outlineLevel="0" collapsed="false">
      <c r="A11" s="13" t="n">
        <v>45839.2083333333</v>
      </c>
      <c r="B11" s="14" t="n">
        <v>19.3</v>
      </c>
    </row>
    <row r="12" customFormat="false" ht="15" hidden="false" customHeight="false" outlineLevel="0" collapsed="false">
      <c r="A12" s="13" t="n">
        <v>45839.25</v>
      </c>
      <c r="B12" s="14" t="n">
        <v>17.6</v>
      </c>
    </row>
    <row r="13" customFormat="false" ht="15" hidden="false" customHeight="false" outlineLevel="0" collapsed="false">
      <c r="A13" s="13" t="n">
        <v>45839.2916666667</v>
      </c>
      <c r="B13" s="14" t="n">
        <v>16.9</v>
      </c>
    </row>
    <row r="14" customFormat="false" ht="15" hidden="false" customHeight="false" outlineLevel="0" collapsed="false">
      <c r="A14" s="15"/>
      <c r="B14" s="16"/>
    </row>
    <row r="15" customFormat="false" ht="15" hidden="false" customHeight="false" outlineLevel="0" collapsed="false">
      <c r="A15" s="15"/>
      <c r="B15" s="16"/>
    </row>
    <row r="16" customFormat="false" ht="15" hidden="false" customHeight="false" outlineLevel="0" collapsed="false">
      <c r="A16" s="15"/>
      <c r="B16" s="16"/>
    </row>
    <row r="17" customFormat="false" ht="15" hidden="false" customHeight="false" outlineLevel="0" collapsed="false">
      <c r="A17" s="15"/>
      <c r="B17" s="16"/>
    </row>
    <row r="18" customFormat="false" ht="15" hidden="false" customHeight="false" outlineLevel="0" collapsed="false">
      <c r="A18" s="15"/>
      <c r="B18" s="16"/>
    </row>
    <row r="19" customFormat="false" ht="15" hidden="false" customHeight="false" outlineLevel="0" collapsed="false">
      <c r="A19" s="15"/>
      <c r="B19" s="16"/>
    </row>
    <row r="20" customFormat="false" ht="15" hidden="false" customHeight="false" outlineLevel="0" collapsed="false">
      <c r="A20" s="15"/>
      <c r="B20" s="16"/>
    </row>
    <row r="21" customFormat="false" ht="15" hidden="false" customHeight="false" outlineLevel="0" collapsed="false">
      <c r="A21" s="15"/>
      <c r="B21" s="16"/>
    </row>
    <row r="22" customFormat="false" ht="15" hidden="false" customHeight="false" outlineLevel="0" collapsed="false">
      <c r="A22" s="15"/>
      <c r="B22" s="16"/>
    </row>
    <row r="23" customFormat="false" ht="15" hidden="false" customHeight="false" outlineLevel="0" collapsed="false">
      <c r="A23" s="15"/>
      <c r="B23" s="16"/>
    </row>
    <row r="24" customFormat="false" ht="15" hidden="false" customHeight="false" outlineLevel="0" collapsed="false">
      <c r="A24" s="15"/>
      <c r="B24" s="16"/>
    </row>
    <row r="25" customFormat="false" ht="15" hidden="false" customHeight="false" outlineLevel="0" collapsed="false">
      <c r="A25" s="15"/>
      <c r="B25" s="16"/>
    </row>
    <row r="26" customFormat="false" ht="15" hidden="false" customHeight="false" outlineLevel="0" collapsed="false">
      <c r="A26" s="15"/>
      <c r="B26" s="16"/>
    </row>
    <row r="27" customFormat="false" ht="15" hidden="false" customHeight="false" outlineLevel="0" collapsed="false">
      <c r="A27" s="15"/>
      <c r="B27" s="16"/>
    </row>
    <row r="28" customFormat="false" ht="15" hidden="false" customHeight="false" outlineLevel="0" collapsed="false">
      <c r="A28" s="15"/>
      <c r="B28" s="16"/>
    </row>
    <row r="29" customFormat="false" ht="15" hidden="false" customHeight="false" outlineLevel="0" collapsed="false">
      <c r="A29" s="15"/>
      <c r="B29" s="16"/>
    </row>
    <row r="30" customFormat="false" ht="15" hidden="false" customHeight="false" outlineLevel="0" collapsed="false">
      <c r="A30" s="15"/>
      <c r="B30" s="16"/>
    </row>
    <row r="31" customFormat="false" ht="15" hidden="false" customHeight="false" outlineLevel="0" collapsed="false">
      <c r="A31" s="15"/>
      <c r="B31" s="16"/>
    </row>
    <row r="32" customFormat="false" ht="15" hidden="false" customHeight="false" outlineLevel="0" collapsed="false">
      <c r="A32" s="15"/>
      <c r="B32" s="16"/>
    </row>
    <row r="33" customFormat="false" ht="15" hidden="false" customHeight="false" outlineLevel="0" collapsed="false">
      <c r="A33" s="15"/>
      <c r="B33" s="16"/>
    </row>
    <row r="34" customFormat="false" ht="15" hidden="false" customHeight="false" outlineLevel="0" collapsed="false">
      <c r="A34" s="15"/>
      <c r="B34" s="16"/>
    </row>
    <row r="35" customFormat="false" ht="15" hidden="false" customHeight="false" outlineLevel="0" collapsed="false">
      <c r="A35" s="15"/>
      <c r="B35" s="16"/>
    </row>
    <row r="36" customFormat="false" ht="15" hidden="false" customHeight="false" outlineLevel="0" collapsed="false">
      <c r="A36" s="15"/>
      <c r="B36" s="16"/>
    </row>
    <row r="37" customFormat="false" ht="15" hidden="false" customHeight="false" outlineLevel="0" collapsed="false">
      <c r="A37" s="15"/>
      <c r="B37" s="16"/>
    </row>
    <row r="38" customFormat="false" ht="15" hidden="false" customHeight="false" outlineLevel="0" collapsed="false">
      <c r="A38" s="15"/>
      <c r="B38" s="16"/>
    </row>
    <row r="39" customFormat="false" ht="15" hidden="false" customHeight="false" outlineLevel="0" collapsed="false">
      <c r="A39" s="15"/>
      <c r="B39" s="16"/>
    </row>
    <row r="40" customFormat="false" ht="15" hidden="false" customHeight="false" outlineLevel="0" collapsed="false">
      <c r="A40" s="15"/>
      <c r="B40" s="16"/>
    </row>
    <row r="41" customFormat="false" ht="15" hidden="false" customHeight="false" outlineLevel="0" collapsed="false">
      <c r="A41" s="15"/>
      <c r="B41" s="16"/>
    </row>
    <row r="42" customFormat="false" ht="15" hidden="false" customHeight="false" outlineLevel="0" collapsed="false">
      <c r="A42" s="15"/>
      <c r="B42" s="16"/>
    </row>
    <row r="43" customFormat="false" ht="15" hidden="false" customHeight="false" outlineLevel="0" collapsed="false">
      <c r="A43" s="15"/>
      <c r="B4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5" min="4" style="0" width="18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1" min="10" style="0" width="12"/>
    <col collapsed="false" customWidth="true" hidden="false" outlineLevel="0" max="12" min="12" style="0" width="16"/>
    <col collapsed="false" customWidth="true" hidden="false" outlineLevel="0" max="13" min="13" style="0" width="17"/>
  </cols>
  <sheetData>
    <row r="1" customFormat="false" ht="17.35" hidden="false" customHeight="false" outlineLevel="0" collapsed="false">
      <c r="A1" s="1" t="s">
        <v>39</v>
      </c>
    </row>
    <row r="2" customFormat="false" ht="15" hidden="false" customHeight="false" outlineLevel="0" collapsed="false">
      <c r="A2" s="2" t="s">
        <v>40</v>
      </c>
    </row>
    <row r="4" customFormat="false" ht="33.75" hidden="false" customHeight="true" outlineLevel="0" collapsed="false">
      <c r="A4" s="12" t="s">
        <v>41</v>
      </c>
      <c r="B4" s="12" t="s">
        <v>42</v>
      </c>
      <c r="C4" s="12" t="s">
        <v>43</v>
      </c>
      <c r="D4" s="12" t="s">
        <v>44</v>
      </c>
      <c r="E4" s="12" t="s">
        <v>45</v>
      </c>
      <c r="F4" s="12" t="s">
        <v>46</v>
      </c>
      <c r="G4" s="12" t="s">
        <v>47</v>
      </c>
      <c r="H4" s="12" t="s">
        <v>48</v>
      </c>
      <c r="I4" s="12" t="s">
        <v>49</v>
      </c>
      <c r="J4" s="12" t="s">
        <v>50</v>
      </c>
      <c r="K4" s="12" t="s">
        <v>51</v>
      </c>
      <c r="L4" s="12" t="s">
        <v>52</v>
      </c>
      <c r="M4" s="12" t="s">
        <v>53</v>
      </c>
    </row>
    <row r="5" customFormat="false" ht="15" hidden="false" customHeight="false" outlineLevel="0" collapsed="false">
      <c r="A5" s="17" t="s">
        <v>54</v>
      </c>
      <c r="B5" s="17" t="s">
        <v>55</v>
      </c>
      <c r="C5" s="17"/>
      <c r="D5" s="17" t="n">
        <v>0</v>
      </c>
      <c r="E5" s="17"/>
      <c r="F5" s="17"/>
      <c r="G5" s="17"/>
      <c r="H5" s="17" t="n">
        <v>30</v>
      </c>
      <c r="I5" s="17" t="n">
        <v>0</v>
      </c>
      <c r="J5" s="17" t="n">
        <v>1</v>
      </c>
      <c r="K5" s="17" t="n">
        <v>1</v>
      </c>
      <c r="L5" s="17" t="s">
        <v>56</v>
      </c>
      <c r="M5" s="17"/>
    </row>
    <row r="6" customFormat="false" ht="15" hidden="false" customHeight="false" outlineLevel="0" collapsed="false">
      <c r="A6" s="17" t="s">
        <v>57</v>
      </c>
      <c r="B6" s="17" t="s">
        <v>58</v>
      </c>
      <c r="C6" s="17" t="n">
        <v>4</v>
      </c>
      <c r="D6" s="17" t="n">
        <v>0</v>
      </c>
      <c r="E6" s="17" t="n">
        <v>0.99</v>
      </c>
      <c r="F6" s="17"/>
      <c r="G6" s="17"/>
      <c r="H6" s="17" t="n">
        <v>10</v>
      </c>
      <c r="I6" s="17" t="n">
        <v>0</v>
      </c>
      <c r="J6" s="17" t="n">
        <v>1</v>
      </c>
      <c r="K6" s="17" t="n">
        <v>1</v>
      </c>
      <c r="L6" s="17" t="s">
        <v>56</v>
      </c>
      <c r="M6" s="17"/>
    </row>
    <row r="7" customFormat="false" ht="15" hidden="false" customHeight="false" outlineLevel="0" collapsed="false">
      <c r="A7" s="17" t="s">
        <v>59</v>
      </c>
      <c r="B7" s="17" t="s">
        <v>60</v>
      </c>
      <c r="C7" s="17" t="n">
        <v>12</v>
      </c>
      <c r="D7" s="17" t="n">
        <v>4</v>
      </c>
      <c r="E7" s="17" t="n">
        <v>0.96</v>
      </c>
      <c r="F7" s="17"/>
      <c r="G7" s="17"/>
      <c r="H7" s="17" t="n">
        <v>30</v>
      </c>
      <c r="I7" s="17" t="n">
        <v>8000</v>
      </c>
      <c r="J7" s="17" t="n">
        <v>4</v>
      </c>
      <c r="K7" s="17" t="n">
        <v>6</v>
      </c>
      <c r="L7" s="17" t="s">
        <v>61</v>
      </c>
      <c r="M7" s="17"/>
    </row>
    <row r="8" customFormat="false" ht="15" hidden="false" customHeight="false" outlineLevel="0" collapsed="false">
      <c r="A8" s="17" t="s">
        <v>62</v>
      </c>
      <c r="B8" s="17" t="s">
        <v>63</v>
      </c>
      <c r="C8" s="17" t="n">
        <v>20</v>
      </c>
      <c r="D8" s="17" t="n">
        <v>0</v>
      </c>
      <c r="E8" s="17" t="n">
        <v>0.95</v>
      </c>
      <c r="F8" s="17"/>
      <c r="G8" s="17"/>
      <c r="H8" s="17" t="n">
        <v>15</v>
      </c>
      <c r="I8" s="17" t="n">
        <v>500</v>
      </c>
      <c r="J8" s="17" t="n">
        <v>1</v>
      </c>
      <c r="K8" s="17" t="n">
        <v>1</v>
      </c>
      <c r="L8" s="17" t="s">
        <v>61</v>
      </c>
      <c r="M8" s="17"/>
    </row>
    <row r="9" customFormat="false" ht="15" hidden="false" customHeight="false" outlineLevel="0" collapsed="false">
      <c r="A9" s="17" t="s">
        <v>64</v>
      </c>
      <c r="B9" s="17" t="s">
        <v>65</v>
      </c>
      <c r="C9" s="17" t="n">
        <v>10.5</v>
      </c>
      <c r="D9" s="17" t="n">
        <v>0.9</v>
      </c>
      <c r="E9" s="17" t="n">
        <v>0.49</v>
      </c>
      <c r="F9" s="17"/>
      <c r="G9" s="17" t="n">
        <v>0.41</v>
      </c>
      <c r="H9" s="17" t="n">
        <v>100</v>
      </c>
      <c r="I9" s="17" t="n">
        <v>2000</v>
      </c>
      <c r="J9" s="17" t="n">
        <v>2</v>
      </c>
      <c r="K9" s="17" t="n">
        <v>2</v>
      </c>
      <c r="L9" s="17" t="s">
        <v>56</v>
      </c>
      <c r="M9" s="17"/>
    </row>
    <row r="10" customFormat="false" ht="15" hidden="false" customHeight="false" outlineLevel="0" collapsed="false">
      <c r="A10" s="17" t="s">
        <v>66</v>
      </c>
      <c r="B10" s="17" t="s">
        <v>67</v>
      </c>
      <c r="C10" s="17" t="n">
        <v>22</v>
      </c>
      <c r="D10" s="17" t="n">
        <v>0</v>
      </c>
      <c r="E10" s="17"/>
      <c r="F10" s="17"/>
      <c r="G10" s="17"/>
      <c r="H10" s="17" t="n">
        <v>0</v>
      </c>
      <c r="I10" s="17" t="n">
        <v>0</v>
      </c>
      <c r="J10" s="17" t="n">
        <v>1</v>
      </c>
      <c r="K10" s="17" t="n">
        <v>1</v>
      </c>
      <c r="L10" s="17" t="s">
        <v>61</v>
      </c>
      <c r="M10" s="17" t="n">
        <v>12</v>
      </c>
    </row>
    <row r="11" customFormat="false" ht="15" hidden="false" customHeight="false" outlineLevel="0" collapsed="false">
      <c r="A11" s="17" t="s">
        <v>68</v>
      </c>
      <c r="B11" s="17" t="s">
        <v>69</v>
      </c>
      <c r="C11" s="17" t="n">
        <v>4</v>
      </c>
      <c r="D11" s="17" t="n">
        <v>4</v>
      </c>
      <c r="E11" s="17" t="n">
        <v>1</v>
      </c>
      <c r="F11" s="17"/>
      <c r="G11" s="17"/>
      <c r="H11" s="17" t="n">
        <v>5</v>
      </c>
      <c r="I11" s="17" t="n">
        <v>0</v>
      </c>
      <c r="J11" s="17" t="n">
        <v>1</v>
      </c>
      <c r="K11" s="17" t="n">
        <v>1</v>
      </c>
      <c r="L11" s="17" t="s">
        <v>61</v>
      </c>
      <c r="M11" s="17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6" customFormat="false" ht="15" hidden="false" customHeight="false" outlineLevel="0" collapsed="false">
      <c r="A26" s="3" t="s">
        <v>70</v>
      </c>
    </row>
    <row r="27" customFormat="false" ht="147" hidden="false" customHeight="false" outlineLevel="0" collapsed="false">
      <c r="A27" s="18" t="s">
        <v>55</v>
      </c>
      <c r="C27" s="5" t="s">
        <v>71</v>
      </c>
    </row>
    <row r="28" customFormat="false" ht="46.25" hidden="false" customHeight="false" outlineLevel="0" collapsed="false">
      <c r="A28" s="18" t="s">
        <v>58</v>
      </c>
      <c r="C28" s="5" t="s">
        <v>72</v>
      </c>
    </row>
    <row r="29" customFormat="false" ht="46.25" hidden="false" customHeight="false" outlineLevel="0" collapsed="false">
      <c r="A29" s="18" t="s">
        <v>60</v>
      </c>
      <c r="C29" s="5" t="s">
        <v>73</v>
      </c>
    </row>
    <row r="30" customFormat="false" ht="15" hidden="false" customHeight="false" outlineLevel="0" collapsed="false">
      <c r="A30" s="18" t="s">
        <v>63</v>
      </c>
      <c r="C30" s="5" t="s">
        <v>74</v>
      </c>
    </row>
    <row r="31" customFormat="false" ht="102.2" hidden="false" customHeight="false" outlineLevel="0" collapsed="false">
      <c r="A31" s="18" t="s">
        <v>65</v>
      </c>
      <c r="C31" s="5" t="s">
        <v>75</v>
      </c>
    </row>
    <row r="32" customFormat="false" ht="46.25" hidden="false" customHeight="false" outlineLevel="0" collapsed="false">
      <c r="A32" s="18" t="s">
        <v>67</v>
      </c>
      <c r="C32" s="5" t="s">
        <v>76</v>
      </c>
    </row>
    <row r="33" customFormat="false" ht="46.25" hidden="false" customHeight="false" outlineLevel="0" collapsed="false">
      <c r="A33" s="18" t="s">
        <v>69</v>
      </c>
      <c r="C33" s="5" t="s">
        <v>77</v>
      </c>
    </row>
    <row r="35" customFormat="false" ht="42" hidden="false" customHeight="true" outlineLevel="0" collapsed="false">
      <c r="A35" s="3" t="s">
        <v>78</v>
      </c>
      <c r="C35" s="5" t="s">
        <v>79</v>
      </c>
    </row>
    <row r="37" customFormat="false" ht="15" hidden="false" customHeight="false" outlineLevel="0" collapsed="false">
      <c r="A37" s="3" t="s">
        <v>80</v>
      </c>
    </row>
    <row r="38" customFormat="false" ht="30" hidden="false" customHeight="true" outlineLevel="0" collapsed="false">
      <c r="A38" s="4" t="s">
        <v>43</v>
      </c>
      <c r="C38" s="5" t="s">
        <v>81</v>
      </c>
    </row>
    <row r="39" customFormat="false" ht="30" hidden="false" customHeight="true" outlineLevel="0" collapsed="false">
      <c r="A39" s="4" t="s">
        <v>44</v>
      </c>
      <c r="C39" s="5" t="s">
        <v>82</v>
      </c>
    </row>
    <row r="40" customFormat="false" ht="30" hidden="false" customHeight="true" outlineLevel="0" collapsed="false">
      <c r="A40" s="4" t="s">
        <v>45</v>
      </c>
      <c r="C40" s="5" t="s">
        <v>83</v>
      </c>
    </row>
    <row r="41" customFormat="false" ht="30" hidden="false" customHeight="true" outlineLevel="0" collapsed="false">
      <c r="A41" s="4" t="s">
        <v>46</v>
      </c>
      <c r="C41" s="5" t="s">
        <v>84</v>
      </c>
    </row>
    <row r="42" customFormat="false" ht="30" hidden="false" customHeight="true" outlineLevel="0" collapsed="false">
      <c r="A42" s="4" t="s">
        <v>47</v>
      </c>
      <c r="C42" s="5" t="s">
        <v>85</v>
      </c>
    </row>
    <row r="43" customFormat="false" ht="30" hidden="false" customHeight="true" outlineLevel="0" collapsed="false">
      <c r="A43" s="4" t="s">
        <v>86</v>
      </c>
      <c r="C43" s="5" t="s">
        <v>87</v>
      </c>
    </row>
    <row r="44" customFormat="false" ht="30" hidden="false" customHeight="true" outlineLevel="0" collapsed="false">
      <c r="A44" s="4" t="s">
        <v>88</v>
      </c>
      <c r="C44" s="5" t="s">
        <v>89</v>
      </c>
    </row>
    <row r="46" customFormat="false" ht="87.75" hidden="false" customHeight="true" outlineLevel="0" collapsed="false">
      <c r="A46" s="19" t="s">
        <v>90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</row>
    <row r="48" customFormat="false" ht="17.35" hidden="false" customHeight="false" outlineLevel="0" collapsed="false">
      <c r="A48" s="1" t="s">
        <v>91</v>
      </c>
    </row>
    <row r="49" customFormat="false" ht="15" hidden="false" customHeight="false" outlineLevel="0" collapsed="false">
      <c r="A49" s="2" t="s">
        <v>92</v>
      </c>
    </row>
    <row r="51" customFormat="false" ht="33.75" hidden="false" customHeight="true" outlineLevel="0" collapsed="false">
      <c r="A51" s="12" t="s">
        <v>93</v>
      </c>
      <c r="B51" s="12" t="s">
        <v>94</v>
      </c>
      <c r="C51" s="12" t="s">
        <v>95</v>
      </c>
      <c r="D51" s="12" t="s">
        <v>96</v>
      </c>
      <c r="E51" s="12" t="s">
        <v>97</v>
      </c>
    </row>
    <row r="52" customFormat="false" ht="15" hidden="false" customHeight="false" outlineLevel="0" collapsed="false">
      <c r="A52" s="17" t="s">
        <v>98</v>
      </c>
      <c r="B52" s="17" t="n">
        <v>7000</v>
      </c>
      <c r="C52" s="17" t="n">
        <v>244</v>
      </c>
      <c r="D52" s="17" t="n">
        <v>25</v>
      </c>
      <c r="E52" s="17" t="n">
        <v>25</v>
      </c>
    </row>
    <row r="53" customFormat="false" ht="15" hidden="false" customHeight="false" outlineLevel="0" collapsed="false">
      <c r="A53" s="17" t="s">
        <v>99</v>
      </c>
      <c r="B53" s="17" t="n">
        <v>3000</v>
      </c>
      <c r="C53" s="17" t="n">
        <v>105</v>
      </c>
      <c r="D53" s="17" t="n">
        <v>25</v>
      </c>
      <c r="E53" s="17" t="n">
        <v>25</v>
      </c>
    </row>
    <row r="54" customFormat="false" ht="15" hidden="false" customHeight="false" outlineLevel="0" collapsed="false">
      <c r="A54" s="10"/>
      <c r="B54" s="10"/>
      <c r="C54" s="10"/>
      <c r="D54" s="10"/>
      <c r="E54" s="10"/>
    </row>
    <row r="55" customFormat="false" ht="15" hidden="false" customHeight="false" outlineLevel="0" collapsed="false">
      <c r="A55" s="10"/>
      <c r="B55" s="10"/>
      <c r="C55" s="10"/>
      <c r="D55" s="10"/>
      <c r="E55" s="10"/>
    </row>
    <row r="56" customFormat="false" ht="15" hidden="false" customHeight="false" outlineLevel="0" collapsed="false">
      <c r="A56" s="10"/>
      <c r="B56" s="10"/>
      <c r="C56" s="10"/>
      <c r="D56" s="10"/>
      <c r="E56" s="10"/>
    </row>
    <row r="57" customFormat="false" ht="15" hidden="false" customHeight="false" outlineLevel="0" collapsed="false">
      <c r="A57" s="10"/>
      <c r="B57" s="10"/>
      <c r="C57" s="10"/>
      <c r="D57" s="10"/>
      <c r="E57" s="10"/>
    </row>
    <row r="59" customFormat="false" ht="45.75" hidden="false" customHeight="true" outlineLevel="0" collapsed="false">
      <c r="A59" s="19" t="s">
        <v>100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</row>
    <row r="60" customFormat="false" ht="15" hidden="false" customHeight="false" outlineLevel="0" collapsed="false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</row>
  </sheetData>
  <mergeCells count="2">
    <mergeCell ref="A46:M46"/>
    <mergeCell ref="A59:M60"/>
  </mergeCells>
  <dataValidations count="2">
    <dataValidation allowBlank="true" error="Vælg en værdi fra listen: heat_pump, electric_boiler, biomass_boiler, gas_boiler, gas_engine_chp, solar_thermal, waste_heat" errorStyle="stop" errorTitle="Enhedstype" operator="between" prompt="Vælg fra listen" promptTitle="Enhedstype" showDropDown="false" showErrorMessage="true" showInputMessage="true" sqref="B5:B23" type="list">
      <formula1>"heat_pump,electric_boiler,biomass_boiler,gas_boiler,gas_engine_chp,solar_thermal,waste_heat"</formula1>
      <formula2>0</formula2>
    </dataValidation>
    <dataValidation allowBlank="true" error="Vælg en værdi fra listen: ja, nej" errorStyle="stop" errorTitle="Balancemarked" operator="between" prompt="Vælg fra listen" promptTitle="Balancemarked" showDropDown="false" showErrorMessage="true" showInputMessage="true" sqref="L5:L23" type="list">
      <formula1>"ja,nej"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101</v>
      </c>
    </row>
    <row r="2" customFormat="false" ht="72" hidden="false" customHeight="true" outlineLevel="0" collapsed="false">
      <c r="A2" s="20" t="s">
        <v>102</v>
      </c>
      <c r="B2" s="20"/>
      <c r="C2" s="20"/>
      <c r="D2" s="20"/>
      <c r="E2" s="20"/>
    </row>
    <row r="3" customFormat="false" ht="36" hidden="false" customHeight="true" outlineLevel="0" collapsed="false">
      <c r="A3" s="20" t="s">
        <v>103</v>
      </c>
      <c r="B3" s="20"/>
      <c r="C3" s="20"/>
      <c r="D3" s="20"/>
      <c r="E3" s="20"/>
    </row>
    <row r="5" customFormat="false" ht="33.75" hidden="false" customHeight="true" outlineLevel="0" collapsed="false">
      <c r="A5" s="12" t="s">
        <v>41</v>
      </c>
      <c r="B5" s="12" t="s">
        <v>104</v>
      </c>
      <c r="C5" s="12" t="s">
        <v>105</v>
      </c>
      <c r="D5" s="12" t="s">
        <v>106</v>
      </c>
      <c r="E5" s="12" t="s">
        <v>107</v>
      </c>
    </row>
    <row r="6" customFormat="false" ht="15" hidden="false" customHeight="false" outlineLevel="0" collapsed="false">
      <c r="A6" s="17" t="s">
        <v>54</v>
      </c>
      <c r="B6" s="17" t="n">
        <v>-10</v>
      </c>
      <c r="C6" s="14" t="n">
        <v>3</v>
      </c>
      <c r="D6" s="14" t="n">
        <v>1.25</v>
      </c>
      <c r="E6" s="21" t="n">
        <f aca="false">IF(AND(ISNUMBER(C6),ISNUMBER(D6),D6&gt;0),C6/D6,"")</f>
        <v>2.4</v>
      </c>
    </row>
    <row r="7" customFormat="false" ht="15" hidden="false" customHeight="false" outlineLevel="0" collapsed="false">
      <c r="A7" s="17" t="s">
        <v>54</v>
      </c>
      <c r="B7" s="17" t="n">
        <v>0</v>
      </c>
      <c r="C7" s="14" t="n">
        <v>4</v>
      </c>
      <c r="D7" s="14" t="n">
        <v>1.38</v>
      </c>
      <c r="E7" s="21" t="n">
        <f aca="false">IF(AND(ISNUMBER(C7),ISNUMBER(D7),D7&gt;0),C7/D7,"")</f>
        <v>2.89855072463768</v>
      </c>
    </row>
    <row r="8" customFormat="false" ht="15" hidden="false" customHeight="false" outlineLevel="0" collapsed="false">
      <c r="A8" s="17" t="s">
        <v>54</v>
      </c>
      <c r="B8" s="17" t="n">
        <v>16</v>
      </c>
      <c r="C8" s="14" t="n">
        <v>5.2</v>
      </c>
      <c r="D8" s="14" t="n">
        <v>1.53</v>
      </c>
      <c r="E8" s="21" t="n">
        <f aca="false">IF(AND(ISNUMBER(C8),ISNUMBER(D8),D8&gt;0),C8/D8,"")</f>
        <v>3.39869281045752</v>
      </c>
    </row>
    <row r="9" customFormat="false" ht="15" hidden="false" customHeight="false" outlineLevel="0" collapsed="false">
      <c r="A9" s="10"/>
      <c r="B9" s="10"/>
      <c r="C9" s="16"/>
      <c r="D9" s="16"/>
      <c r="E9" s="21" t="str">
        <f aca="false">IF(AND(ISNUMBER(C9),ISNUMBER(D9),D9&gt;0),C9/D9,"")</f>
        <v/>
      </c>
    </row>
    <row r="10" customFormat="false" ht="15" hidden="false" customHeight="false" outlineLevel="0" collapsed="false">
      <c r="A10" s="10"/>
      <c r="B10" s="10"/>
      <c r="C10" s="16"/>
      <c r="D10" s="16"/>
      <c r="E10" s="21" t="str">
        <f aca="false">IF(AND(ISNUMBER(C10),ISNUMBER(D10),D10&gt;0),C10/D10,"")</f>
        <v/>
      </c>
    </row>
    <row r="11" customFormat="false" ht="15" hidden="false" customHeight="false" outlineLevel="0" collapsed="false">
      <c r="A11" s="10"/>
      <c r="B11" s="10"/>
      <c r="C11" s="16"/>
      <c r="D11" s="16"/>
      <c r="E11" s="21" t="str">
        <f aca="false">IF(AND(ISNUMBER(C11),ISNUMBER(D11),D11&gt;0),C11/D11,"")</f>
        <v/>
      </c>
    </row>
    <row r="12" customFormat="false" ht="15" hidden="false" customHeight="false" outlineLevel="0" collapsed="false">
      <c r="A12" s="10"/>
      <c r="B12" s="10"/>
      <c r="C12" s="16"/>
      <c r="D12" s="16"/>
      <c r="E12" s="21" t="str">
        <f aca="false">IF(AND(ISNUMBER(C12),ISNUMBER(D12),D12&gt;0),C12/D12,"")</f>
        <v/>
      </c>
    </row>
    <row r="13" customFormat="false" ht="15" hidden="false" customHeight="false" outlineLevel="0" collapsed="false">
      <c r="A13" s="10"/>
      <c r="B13" s="10"/>
      <c r="C13" s="16"/>
      <c r="D13" s="16"/>
      <c r="E13" s="21" t="str">
        <f aca="false">IF(AND(ISNUMBER(C13),ISNUMBER(D13),D13&gt;0),C13/D13,"")</f>
        <v/>
      </c>
    </row>
    <row r="14" customFormat="false" ht="15" hidden="false" customHeight="false" outlineLevel="0" collapsed="false">
      <c r="A14" s="10"/>
      <c r="B14" s="10"/>
      <c r="C14" s="16"/>
      <c r="D14" s="16"/>
      <c r="E14" s="21" t="str">
        <f aca="false">IF(AND(ISNUMBER(C14),ISNUMBER(D14),D14&gt;0),C14/D14,"")</f>
        <v/>
      </c>
    </row>
    <row r="15" customFormat="false" ht="15" hidden="false" customHeight="false" outlineLevel="0" collapsed="false">
      <c r="A15" s="10"/>
      <c r="B15" s="10"/>
      <c r="C15" s="16"/>
      <c r="D15" s="16"/>
      <c r="E15" s="21" t="str">
        <f aca="false">IF(AND(ISNUMBER(C15),ISNUMBER(D15),D15&gt;0),C15/D15,"")</f>
        <v/>
      </c>
    </row>
    <row r="16" customFormat="false" ht="15" hidden="false" customHeight="false" outlineLevel="0" collapsed="false">
      <c r="A16" s="10"/>
      <c r="B16" s="10"/>
      <c r="C16" s="16"/>
      <c r="D16" s="16"/>
      <c r="E16" s="21" t="str">
        <f aca="false">IF(AND(ISNUMBER(C16),ISNUMBER(D16),D16&gt;0),C16/D16,"")</f>
        <v/>
      </c>
    </row>
    <row r="17" customFormat="false" ht="15" hidden="false" customHeight="false" outlineLevel="0" collapsed="false">
      <c r="A17" s="10"/>
      <c r="B17" s="10"/>
      <c r="C17" s="16"/>
      <c r="D17" s="16"/>
      <c r="E17" s="21" t="str">
        <f aca="false">IF(AND(ISNUMBER(C17),ISNUMBER(D17),D17&gt;0),C17/D17,"")</f>
        <v/>
      </c>
    </row>
    <row r="18" customFormat="false" ht="15" hidden="false" customHeight="false" outlineLevel="0" collapsed="false">
      <c r="A18" s="10"/>
      <c r="B18" s="10"/>
      <c r="C18" s="16"/>
      <c r="D18" s="16"/>
      <c r="E18" s="21" t="str">
        <f aca="false">IF(AND(ISNUMBER(C18),ISNUMBER(D18),D18&gt;0),C18/D18,"")</f>
        <v/>
      </c>
    </row>
    <row r="19" customFormat="false" ht="15" hidden="false" customHeight="false" outlineLevel="0" collapsed="false">
      <c r="A19" s="10"/>
      <c r="B19" s="10"/>
      <c r="C19" s="16"/>
      <c r="D19" s="16"/>
      <c r="E19" s="21" t="str">
        <f aca="false">IF(AND(ISNUMBER(C19),ISNUMBER(D19),D19&gt;0),C19/D19,"")</f>
        <v/>
      </c>
    </row>
    <row r="20" customFormat="false" ht="15" hidden="false" customHeight="false" outlineLevel="0" collapsed="false">
      <c r="A20" s="10"/>
      <c r="B20" s="10"/>
      <c r="C20" s="16"/>
      <c r="D20" s="16"/>
      <c r="E20" s="21" t="str">
        <f aca="false">IF(AND(ISNUMBER(C20),ISNUMBER(D20),D20&gt;0),C20/D20,"")</f>
        <v/>
      </c>
    </row>
    <row r="21" customFormat="false" ht="15" hidden="false" customHeight="false" outlineLevel="0" collapsed="false">
      <c r="A21" s="10"/>
      <c r="B21" s="10"/>
      <c r="C21" s="16"/>
      <c r="D21" s="16"/>
      <c r="E21" s="21" t="str">
        <f aca="false">IF(AND(ISNUMBER(C21),ISNUMBER(D21),D21&gt;0),C21/D21,"")</f>
        <v/>
      </c>
    </row>
    <row r="22" customFormat="false" ht="15" hidden="false" customHeight="false" outlineLevel="0" collapsed="false">
      <c r="A22" s="10"/>
      <c r="B22" s="10"/>
      <c r="C22" s="16"/>
      <c r="D22" s="16"/>
      <c r="E22" s="21" t="str">
        <f aca="false">IF(AND(ISNUMBER(C22),ISNUMBER(D22),D22&gt;0),C22/D22,"")</f>
        <v/>
      </c>
    </row>
    <row r="23" customFormat="false" ht="15" hidden="false" customHeight="false" outlineLevel="0" collapsed="false">
      <c r="A23" s="10"/>
      <c r="B23" s="10"/>
      <c r="C23" s="16"/>
      <c r="D23" s="16"/>
      <c r="E23" s="21" t="str">
        <f aca="false">IF(AND(ISNUMBER(C23),ISNUMBER(D23),D23&gt;0),C23/D23,"")</f>
        <v/>
      </c>
    </row>
    <row r="25" customFormat="false" ht="30" hidden="false" customHeight="true" outlineLevel="0" collapsed="false">
      <c r="A25" s="19" t="s">
        <v>108</v>
      </c>
      <c r="B25" s="19"/>
      <c r="C25" s="19"/>
      <c r="D25" s="19"/>
      <c r="E25" s="19"/>
    </row>
    <row r="26" customFormat="false" ht="30" hidden="false" customHeight="true" outlineLevel="0" collapsed="false">
      <c r="A26" s="19"/>
      <c r="B26" s="19"/>
      <c r="C26" s="19"/>
      <c r="D26" s="19"/>
      <c r="E26" s="19"/>
    </row>
  </sheetData>
  <mergeCells count="3">
    <mergeCell ref="A2:E2"/>
    <mergeCell ref="A3:E3"/>
    <mergeCell ref="A25:E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48"/>
    <col collapsed="false" customWidth="true" hidden="false" outlineLevel="0" max="5" min="5" style="0" width="3"/>
  </cols>
  <sheetData>
    <row r="1" customFormat="false" ht="17.35" hidden="false" customHeight="false" outlineLevel="0" collapsed="false">
      <c r="A1" s="1" t="s">
        <v>109</v>
      </c>
    </row>
    <row r="2" customFormat="false" ht="15" hidden="false" customHeight="false" outlineLevel="0" collapsed="false">
      <c r="A2" s="2" t="s">
        <v>110</v>
      </c>
    </row>
    <row r="4" customFormat="false" ht="15" hidden="false" customHeight="false" outlineLevel="0" collapsed="false">
      <c r="A4" s="3" t="s">
        <v>111</v>
      </c>
    </row>
    <row r="5" customFormat="false" ht="33.75" hidden="false" customHeight="true" outlineLevel="0" collapsed="false">
      <c r="A5" s="12" t="s">
        <v>112</v>
      </c>
      <c r="B5" s="12" t="s">
        <v>113</v>
      </c>
      <c r="C5" s="12" t="s">
        <v>114</v>
      </c>
      <c r="D5" s="12" t="s">
        <v>115</v>
      </c>
    </row>
    <row r="6" customFormat="false" ht="15" hidden="false" customHeight="false" outlineLevel="0" collapsed="false">
      <c r="A6" s="22" t="s">
        <v>116</v>
      </c>
      <c r="B6" s="23" t="n">
        <v>606</v>
      </c>
      <c r="C6" s="22" t="s">
        <v>117</v>
      </c>
      <c r="D6" s="24" t="s">
        <v>118</v>
      </c>
    </row>
    <row r="7" customFormat="false" ht="15" hidden="false" customHeight="false" outlineLevel="0" collapsed="false">
      <c r="A7" s="22" t="s">
        <v>119</v>
      </c>
      <c r="B7" s="23" t="n">
        <v>232</v>
      </c>
      <c r="C7" s="22" t="s">
        <v>117</v>
      </c>
      <c r="D7" s="24" t="s">
        <v>120</v>
      </c>
    </row>
    <row r="8" customFormat="false" ht="15" hidden="false" customHeight="false" outlineLevel="0" collapsed="false">
      <c r="A8" s="22" t="s">
        <v>121</v>
      </c>
      <c r="B8" s="23" t="n">
        <v>232</v>
      </c>
      <c r="C8" s="22" t="s">
        <v>117</v>
      </c>
      <c r="D8" s="24" t="s">
        <v>122</v>
      </c>
    </row>
    <row r="9" customFormat="false" ht="15" hidden="false" customHeight="false" outlineLevel="0" collapsed="false">
      <c r="A9" s="22" t="s">
        <v>68</v>
      </c>
      <c r="B9" s="23" t="n">
        <v>50</v>
      </c>
      <c r="C9" s="22" t="s">
        <v>117</v>
      </c>
      <c r="D9" s="24" t="s">
        <v>123</v>
      </c>
    </row>
    <row r="10" customFormat="false" ht="15" hidden="false" customHeight="false" outlineLevel="0" collapsed="false">
      <c r="A10" s="22" t="s">
        <v>124</v>
      </c>
      <c r="B10" s="23" t="n">
        <v>670</v>
      </c>
      <c r="C10" s="22" t="s">
        <v>125</v>
      </c>
      <c r="D10" s="24" t="s">
        <v>126</v>
      </c>
    </row>
    <row r="12" customFormat="false" ht="15" hidden="false" customHeight="false" outlineLevel="0" collapsed="false">
      <c r="A12" s="3" t="s">
        <v>127</v>
      </c>
    </row>
    <row r="13" customFormat="false" ht="33.75" hidden="false" customHeight="true" outlineLevel="0" collapsed="false">
      <c r="A13" s="12" t="s">
        <v>128</v>
      </c>
      <c r="B13" s="12" t="s">
        <v>117</v>
      </c>
      <c r="C13" s="12"/>
      <c r="D13" s="12" t="s">
        <v>115</v>
      </c>
    </row>
    <row r="14" customFormat="false" ht="15" hidden="false" customHeight="false" outlineLevel="0" collapsed="false">
      <c r="A14" s="22" t="s">
        <v>129</v>
      </c>
      <c r="B14" s="23" t="n">
        <v>4</v>
      </c>
      <c r="C14" s="22"/>
      <c r="D14" s="24" t="s">
        <v>130</v>
      </c>
    </row>
    <row r="15" customFormat="false" ht="15" hidden="false" customHeight="false" outlineLevel="0" collapsed="false">
      <c r="A15" s="22" t="s">
        <v>131</v>
      </c>
      <c r="B15" s="23" t="n">
        <v>115</v>
      </c>
      <c r="C15" s="22"/>
      <c r="D15" s="24" t="s">
        <v>132</v>
      </c>
    </row>
    <row r="16" customFormat="false" ht="15" hidden="false" customHeight="false" outlineLevel="0" collapsed="false">
      <c r="A16" s="22" t="s">
        <v>133</v>
      </c>
      <c r="B16" s="23" t="n">
        <v>0</v>
      </c>
      <c r="C16" s="22"/>
      <c r="D16" s="24" t="s">
        <v>134</v>
      </c>
    </row>
    <row r="17" customFormat="false" ht="15" hidden="false" customHeight="false" outlineLevel="0" collapsed="false">
      <c r="A17" s="22" t="s">
        <v>135</v>
      </c>
      <c r="B17" s="23" t="n">
        <v>4.1</v>
      </c>
      <c r="C17" s="22"/>
      <c r="D17" s="24" t="s">
        <v>136</v>
      </c>
    </row>
    <row r="19" customFormat="false" ht="15" hidden="false" customHeight="false" outlineLevel="0" collapsed="false">
      <c r="A19" s="3" t="s">
        <v>137</v>
      </c>
    </row>
    <row r="20" customFormat="false" ht="72" hidden="false" customHeight="true" outlineLevel="0" collapsed="false">
      <c r="A20" s="25" t="s">
        <v>138</v>
      </c>
    </row>
    <row r="21" customFormat="false" ht="33.75" hidden="false" customHeight="true" outlineLevel="0" collapsed="false">
      <c r="A21" s="12" t="s">
        <v>139</v>
      </c>
      <c r="B21" s="12" t="s">
        <v>140</v>
      </c>
      <c r="C21" s="12" t="s">
        <v>141</v>
      </c>
      <c r="D21" s="12" t="s">
        <v>115</v>
      </c>
    </row>
    <row r="22" customFormat="false" ht="30" hidden="false" customHeight="true" outlineLevel="0" collapsed="false">
      <c r="A22" s="22" t="s">
        <v>142</v>
      </c>
      <c r="B22" s="23" t="n">
        <v>7.4</v>
      </c>
      <c r="C22" s="23" t="n">
        <v>7.4</v>
      </c>
      <c r="D22" s="26" t="s">
        <v>143</v>
      </c>
    </row>
    <row r="23" customFormat="false" ht="30" hidden="false" customHeight="true" outlineLevel="0" collapsed="false">
      <c r="A23" s="22" t="s">
        <v>144</v>
      </c>
      <c r="B23" s="23" t="n">
        <v>14.8</v>
      </c>
      <c r="C23" s="23" t="n">
        <v>14.8</v>
      </c>
      <c r="D23" s="26" t="s">
        <v>145</v>
      </c>
    </row>
    <row r="24" customFormat="false" ht="30" hidden="false" customHeight="true" outlineLevel="0" collapsed="false">
      <c r="A24" s="22" t="s">
        <v>146</v>
      </c>
      <c r="B24" s="23" t="n">
        <v>29.5</v>
      </c>
      <c r="C24" s="23"/>
      <c r="D24" s="26" t="s">
        <v>147</v>
      </c>
    </row>
    <row r="26" customFormat="false" ht="15" hidden="false" customHeight="false" outlineLevel="0" collapsed="false">
      <c r="A26" s="3" t="s">
        <v>148</v>
      </c>
    </row>
    <row r="27" customFormat="false" ht="33.75" hidden="false" customHeight="true" outlineLevel="0" collapsed="false">
      <c r="A27" s="12" t="s">
        <v>149</v>
      </c>
      <c r="B27" s="12" t="s">
        <v>150</v>
      </c>
      <c r="C27" s="12"/>
      <c r="D27" s="12" t="s">
        <v>115</v>
      </c>
    </row>
    <row r="28" customFormat="false" ht="30" hidden="false" customHeight="true" outlineLevel="0" collapsed="false">
      <c r="A28" s="22" t="s">
        <v>151</v>
      </c>
      <c r="B28" s="10" t="s">
        <v>152</v>
      </c>
      <c r="C28" s="22"/>
      <c r="D28" s="26" t="s">
        <v>153</v>
      </c>
    </row>
    <row r="29" customFormat="false" ht="15" hidden="false" customHeight="false" outlineLevel="0" collapsed="false">
      <c r="A29" s="22" t="s">
        <v>154</v>
      </c>
      <c r="B29" s="10" t="s">
        <v>155</v>
      </c>
      <c r="C29" s="22"/>
      <c r="D29" s="24" t="s">
        <v>156</v>
      </c>
    </row>
    <row r="30" customFormat="false" ht="15" hidden="false" customHeight="false" outlineLevel="0" collapsed="false">
      <c r="A30" s="22" t="s">
        <v>157</v>
      </c>
      <c r="B30" s="10" t="s">
        <v>158</v>
      </c>
      <c r="C30" s="22"/>
      <c r="D30" s="24" t="s">
        <v>159</v>
      </c>
    </row>
  </sheetData>
  <dataValidations count="2">
    <dataValidation allowBlank="true" error="Vælg en værdi fra listen: fyn, vestkyst, karup, ringsted" errorStyle="stop" errorTitle="DMI-område" operator="between" prompt="Vælg fra listen" promptTitle="DMI-område" showDropDown="false" showErrorMessage="true" showInputMessage="true" sqref="B28" type="list">
      <formula1>"fyn,vestkyst,karup,ringsted"</formula1>
      <formula2>0</formula2>
    </dataValidation>
    <dataValidation allowBlank="true" error="Vælg en værdi fra listen: DK1, DK2" errorStyle="stop" errorTitle="Priszone" operator="between" prompt="Vælg fra listen" promptTitle="Priszone" showDropDown="false" showErrorMessage="true" showInputMessage="true" sqref="B29" type="list">
      <formula1>"DK1,DK2"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2026-09-24T08:39:07Z</dcterms:created>
  <dc:creator>openpyxl</dc:creator>
  <dc:description/>
  <dc:language>en-US</dc:language>
  <cp:lastModifiedBy/>
  <dcterms:modified xsi:type="dcterms:W3CDTF">2026-09-24T08:39:07Z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